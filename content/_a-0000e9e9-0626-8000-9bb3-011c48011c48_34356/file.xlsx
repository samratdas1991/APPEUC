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cvdafs01\userdata1\PR41732T\Desktop\"/>
    </mc:Choice>
  </mc:AlternateContent>
  <bookViews>
    <workbookView xWindow="0" yWindow="0" windowWidth="20490" windowHeight="7665" activeTab="3"/>
  </bookViews>
  <sheets>
    <sheet name="Transaction Working" sheetId="3" r:id="rId1"/>
    <sheet name="FX_Conversion Rate" sheetId="5" r:id="rId2"/>
    <sheet name="Pivot" sheetId="4" r:id="rId3"/>
    <sheet name="Reference Data" sheetId="2" r:id="rId4"/>
    <sheet name="Output file" sheetId="6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D4" i="6"/>
  <c r="D5" i="6"/>
  <c r="C3" i="6"/>
  <c r="C4" i="6"/>
  <c r="C5" i="6"/>
  <c r="B3" i="6"/>
  <c r="B4" i="6"/>
  <c r="B5" i="6"/>
  <c r="A3" i="6"/>
  <c r="A4" i="6"/>
  <c r="A5" i="6"/>
  <c r="B2" i="6"/>
  <c r="A2" i="6"/>
  <c r="F7" i="4" l="1"/>
  <c r="G7" i="4" s="1"/>
  <c r="F8" i="4"/>
  <c r="G8" i="4" s="1"/>
  <c r="F9" i="4"/>
  <c r="G9" i="4" s="1"/>
  <c r="F10" i="4"/>
  <c r="G10" i="4"/>
  <c r="F11" i="4"/>
  <c r="G11" i="4" s="1"/>
  <c r="F12" i="4"/>
  <c r="G12" i="4" s="1"/>
  <c r="F13" i="4"/>
  <c r="G13" i="4"/>
  <c r="F14" i="4"/>
  <c r="G14" i="4"/>
  <c r="F15" i="4"/>
  <c r="G15" i="4" s="1"/>
  <c r="F16" i="4"/>
  <c r="G16" i="4" s="1"/>
  <c r="F17" i="4"/>
  <c r="G17" i="4"/>
  <c r="F18" i="4"/>
  <c r="G18" i="4"/>
  <c r="F19" i="4"/>
  <c r="G19" i="4" s="1"/>
  <c r="F20" i="4"/>
  <c r="G20" i="4" s="1"/>
  <c r="F21" i="4"/>
  <c r="G21" i="4"/>
  <c r="E18" i="4"/>
  <c r="E19" i="4"/>
  <c r="E20" i="4"/>
  <c r="E21" i="4"/>
  <c r="D13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5" i="4"/>
  <c r="C2" i="6" s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5" i="4"/>
  <c r="A5" i="4"/>
  <c r="A6" i="4"/>
  <c r="E6" i="4" s="1"/>
  <c r="A7" i="4"/>
  <c r="E7" i="4" s="1"/>
  <c r="A8" i="4"/>
  <c r="E8" i="4" s="1"/>
  <c r="A9" i="4"/>
  <c r="E9" i="4" s="1"/>
  <c r="A10" i="4"/>
  <c r="E10" i="4" s="1"/>
  <c r="A11" i="4"/>
  <c r="E11" i="4" s="1"/>
  <c r="A12" i="4"/>
  <c r="E12" i="4" s="1"/>
  <c r="A13" i="4"/>
  <c r="E13" i="4" s="1"/>
  <c r="A14" i="4"/>
  <c r="E14" i="4" s="1"/>
  <c r="A15" i="4"/>
  <c r="E15" i="4" s="1"/>
  <c r="A16" i="4"/>
  <c r="E16" i="4" s="1"/>
  <c r="A17" i="4"/>
  <c r="E17" i="4" s="1"/>
  <c r="A18" i="4"/>
  <c r="A19" i="4"/>
  <c r="A20" i="4"/>
  <c r="A21" i="4"/>
  <c r="E5" i="4" l="1"/>
  <c r="D2" i="4" s="1"/>
  <c r="F6" i="4"/>
  <c r="F5" i="4"/>
  <c r="D5" i="3"/>
  <c r="D4" i="3"/>
  <c r="D3" i="3"/>
  <c r="D2" i="3"/>
  <c r="E5" i="3"/>
  <c r="E4" i="3"/>
  <c r="E3" i="3"/>
  <c r="E2" i="3"/>
  <c r="D5" i="4" s="1"/>
  <c r="G5" i="4" l="1"/>
  <c r="D2" i="6" s="1"/>
  <c r="G6" i="4"/>
</calcChain>
</file>

<file path=xl/sharedStrings.xml><?xml version="1.0" encoding="utf-8"?>
<sst xmlns="http://schemas.openxmlformats.org/spreadsheetml/2006/main" count="26" uniqueCount="19">
  <si>
    <t>Product _Code</t>
  </si>
  <si>
    <t>Qty</t>
  </si>
  <si>
    <t>Country_Code</t>
  </si>
  <si>
    <t>Amount</t>
  </si>
  <si>
    <t>Product_Code</t>
  </si>
  <si>
    <t>Product_Description</t>
  </si>
  <si>
    <t>Rate_USD</t>
  </si>
  <si>
    <t>Country_Name</t>
  </si>
  <si>
    <t>Sum of Qty</t>
  </si>
  <si>
    <t>Tax Rate</t>
  </si>
  <si>
    <t>Sum of Amount ($)</t>
  </si>
  <si>
    <t>USD</t>
  </si>
  <si>
    <t>Date</t>
  </si>
  <si>
    <t>GBP</t>
  </si>
  <si>
    <t>Tax_in_GBP</t>
  </si>
  <si>
    <t>Product_Name</t>
  </si>
  <si>
    <t>Quantity</t>
  </si>
  <si>
    <t>Details for Country:</t>
  </si>
  <si>
    <t>Amount_including_tax_GBP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</si>
</sst>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pivotButton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16" fontId="0" fillId="2" borderId="1" xfId="0" applyNumberFormat="1" applyFill="1" applyBorder="1"/>
    <xf numFmtId="164" fontId="0" fillId="3" borderId="0" xfId="1" applyNumberFormat="1" applyFont="1" applyFill="1"/>
    <xf numFmtId="9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0" fillId="0" borderId="0" xfId="0" applyNumberFormat="1"/>
    <xf numFmtId="0" fontId="0" fillId="3" borderId="0" xfId="0" applyNumberFormat="1" applyFill="1"/>
    <xf numFmtId="0" fontId="0" fillId="3" borderId="0" xfId="1" applyNumberFormat="1" applyFont="1" applyFill="1"/>
    <xf numFmtId="2" fontId="0" fillId="2" borderId="1" xfId="0" applyNumberFormat="1" applyFill="1" applyBorder="1"/>
    <xf numFmtId="2" fontId="0" fillId="2" borderId="0" xfId="0" quotePrefix="1" applyNumberFormat="1" applyFill="1"/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rad Dikshit (Finance Solutions)" refreshedDate="44067.897591203706" createdVersion="6" refreshedVersion="6" minRefreshableVersion="3" recordCount="4">
  <cacheSource type="worksheet">
    <worksheetSource ref="A1:E5" sheet="Transaction Working"/>
  </cacheSource>
  <cacheFields count="5">
    <cacheField name="Product _Code" numFmtId="0">
      <sharedItems containsNonDate="0" containsString="0" containsBlank="1"/>
    </cacheField>
    <cacheField name="Country_Code" numFmtId="0">
      <sharedItems containsNonDate="0" containsString="0" containsBlank="1" containsNumber="1" containsInteger="1" minValue="1" maxValue="2" count="3">
        <m/>
        <n v="2" u="1"/>
        <n v="1" u="1"/>
      </sharedItems>
    </cacheField>
    <cacheField name="Qty" numFmtId="0">
      <sharedItems containsNonDate="0" containsString="0" containsBlank="1"/>
    </cacheField>
    <cacheField name="Product_Name" numFmtId="0">
      <sharedItems count="3">
        <e v="#N/A"/>
        <s v="Prod2" u="1"/>
        <s v="Prod1" u="1"/>
      </sharedItems>
    </cacheField>
    <cacheField name="Am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m/>
    <x v="0"/>
    <m/>
    <x v="0"/>
    <e v="#N/A"/>
  </r>
  <r>
    <m/>
    <x v="0"/>
    <m/>
    <x v="0"/>
    <e v="#N/A"/>
  </r>
  <r>
    <m/>
    <x v="0"/>
    <m/>
    <x v="0"/>
    <e v="#N/A"/>
  </r>
  <r>
    <m/>
    <x v="0"/>
    <m/>
    <x v="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4:D4" firstHeaderRow="0" firstDataRow="1" firstDataCol="2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3">
        <item m="1" x="2"/>
        <item h="1" m="1"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colFields count="1">
    <field x="-2"/>
  </colFields>
  <colItems count="2">
    <i>
      <x/>
    </i>
    <i i="1">
      <x v="1"/>
    </i>
  </colItems>
  <dataFields count="2">
    <dataField name="Sum of Qty" fld="2" baseField="0" baseItem="0"/>
    <dataField name="Sum of Amount ($)" fld="4" baseField="0" baseItem="0"/>
  </dataFields>
  <formats count="1"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2" sqref="E2"/>
    </sheetView>
  </sheetViews>
  <sheetFormatPr defaultRowHeight="15" x14ac:dyDescent="0.25"/>
  <cols>
    <col min="1" max="1" width="14" bestFit="1" customWidth="1"/>
    <col min="2" max="2" width="13.7109375" bestFit="1" customWidth="1"/>
    <col min="3" max="3" width="9.140625" style="12"/>
    <col min="4" max="4" width="14.28515625" bestFit="1" customWidth="1"/>
    <col min="5" max="5" width="9.140625" style="12"/>
  </cols>
  <sheetData>
    <row r="1" spans="1:5" x14ac:dyDescent="0.25">
      <c r="A1" s="3" t="s">
        <v>0</v>
      </c>
      <c r="B1" s="3" t="s">
        <v>2</v>
      </c>
      <c r="C1" s="11" t="s">
        <v>1</v>
      </c>
      <c r="D1" s="4" t="s">
        <v>15</v>
      </c>
      <c r="E1" s="13" t="s">
        <v>3</v>
      </c>
    </row>
    <row r="2" spans="1:5" x14ac:dyDescent="0.25">
      <c r="A2" s="5"/>
      <c r="B2" s="5"/>
      <c r="C2" s="17"/>
      <c r="D2" s="4" t="e">
        <f>VLOOKUP(A2,'Reference Data'!$A$7:$B$11,2,FALSE)</f>
        <v>#N/A</v>
      </c>
      <c r="E2" s="13" t="e">
        <f>C2*VLOOKUP(A2,'Reference Data'!$A$7:$C$11,3,FALSE)</f>
        <v>#N/A</v>
      </c>
    </row>
    <row r="3" spans="1:5" x14ac:dyDescent="0.25">
      <c r="A3" s="5"/>
      <c r="B3" s="5"/>
      <c r="C3" s="17"/>
      <c r="D3" s="4" t="e">
        <f>VLOOKUP(A3,'Reference Data'!$A$7:$B$11,2,FALSE)</f>
        <v>#N/A</v>
      </c>
      <c r="E3" s="13" t="e">
        <f>C3*VLOOKUP(A3,'Reference Data'!$A$7:$C$11,3,FALSE)</f>
        <v>#N/A</v>
      </c>
    </row>
    <row r="4" spans="1:5" x14ac:dyDescent="0.25">
      <c r="A4" s="5"/>
      <c r="B4" s="5"/>
      <c r="C4" s="17"/>
      <c r="D4" s="4" t="e">
        <f>VLOOKUP(A4,'Reference Data'!$A$7:$B$11,2,FALSE)</f>
        <v>#N/A</v>
      </c>
      <c r="E4" s="13" t="e">
        <f>C4*VLOOKUP(A4,'Reference Data'!$A$7:$C$11,3,FALSE)</f>
        <v>#N/A</v>
      </c>
    </row>
    <row r="5" spans="1:5" x14ac:dyDescent="0.25">
      <c r="A5" s="5"/>
      <c r="B5" s="5"/>
      <c r="C5" s="17"/>
      <c r="D5" s="4" t="e">
        <f>VLOOKUP(A5,'Reference Data'!$A$7:$B$11,2,FALSE)</f>
        <v>#N/A</v>
      </c>
      <c r="E5" s="13" t="e">
        <f>C5*VLOOKUP(A5,'Reference Data'!$A$7:$C$11,3,FALSE)</f>
        <v>#N/A</v>
      </c>
    </row>
  </sheetData>
  <pageMargins left="0.7" right="0.7" top="0.75" bottom="0.75" header="0.3" footer="0.3"/>
  <pageSetup orientation="portrait" r:id="rId1"/>
  <headerFooter>
    <oddFooter>&amp;C&amp;1#&amp;"Arial"&amp;7&amp;K000000Sensitivity: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16" sqref="F16"/>
    </sheetView>
  </sheetViews>
  <sheetFormatPr defaultRowHeight="15" x14ac:dyDescent="0.25"/>
  <sheetData>
    <row r="1" spans="1:3" x14ac:dyDescent="0.25">
      <c r="A1" s="5" t="s">
        <v>12</v>
      </c>
      <c r="B1" s="5" t="s">
        <v>11</v>
      </c>
      <c r="C1" s="5" t="s">
        <v>13</v>
      </c>
    </row>
    <row r="2" spans="1:3" x14ac:dyDescent="0.25">
      <c r="A2" s="6"/>
      <c r="B2" s="5"/>
      <c r="C2" s="5"/>
    </row>
  </sheetData>
  <pageMargins left="0.7" right="0.7" top="0.75" bottom="0.75" header="0.3" footer="0.3"/>
  <pageSetup orientation="portrait" r:id="rId1"/>
  <headerFooter>
    <oddFooter>&amp;C&amp;1#&amp;"Arial"&amp;7&amp;K000000Sensitivity: Internal &amp;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workbookViewId="0">
      <selection activeCell="E11" sqref="E11"/>
    </sheetView>
  </sheetViews>
  <sheetFormatPr defaultColWidth="23.7109375" defaultRowHeight="15" x14ac:dyDescent="0.25"/>
  <cols>
    <col min="1" max="1" width="16" bestFit="1" customWidth="1"/>
    <col min="2" max="2" width="16.5703125" bestFit="1" customWidth="1"/>
    <col min="3" max="3" width="18.42578125" bestFit="1" customWidth="1"/>
    <col min="4" max="4" width="17.85546875" style="12" bestFit="1" customWidth="1"/>
    <col min="5" max="5" width="14.42578125" style="14" bestFit="1" customWidth="1"/>
    <col min="6" max="6" width="11.28515625" bestFit="1" customWidth="1"/>
    <col min="7" max="7" width="26.140625" style="12" bestFit="1" customWidth="1"/>
  </cols>
  <sheetData>
    <row r="2" spans="1:8" x14ac:dyDescent="0.25">
      <c r="C2" t="s">
        <v>17</v>
      </c>
      <c r="D2" s="13" t="e">
        <f>E5</f>
        <v>#N/A</v>
      </c>
    </row>
    <row r="4" spans="1:8" x14ac:dyDescent="0.25">
      <c r="A4" s="1" t="s">
        <v>2</v>
      </c>
      <c r="B4" s="1" t="s">
        <v>15</v>
      </c>
      <c r="C4" t="s">
        <v>8</v>
      </c>
      <c r="D4" s="12" t="s">
        <v>10</v>
      </c>
      <c r="E4" s="15" t="s">
        <v>7</v>
      </c>
      <c r="F4" s="4" t="s">
        <v>14</v>
      </c>
      <c r="G4" s="13" t="s">
        <v>18</v>
      </c>
    </row>
    <row r="5" spans="1:8" x14ac:dyDescent="0.25">
      <c r="A5">
        <f>'Transaction Working'!B2</f>
        <v>0</v>
      </c>
      <c r="B5">
        <f>'Transaction Working'!A2</f>
        <v>0</v>
      </c>
      <c r="C5">
        <f>'Transaction Working'!C2</f>
        <v>0</v>
      </c>
      <c r="D5" s="12" t="e">
        <f>'Transaction Working'!E2</f>
        <v>#N/A</v>
      </c>
      <c r="E5" s="16" t="e">
        <f>VLOOKUP(A5,'Reference Data'!$A$1:$C$5,2,FALSE)</f>
        <v>#N/A</v>
      </c>
      <c r="F5" s="7" t="e">
        <f>VLOOKUP(A5,'Reference Data'!$A$1:$C$5,3,FALSE)</f>
        <v>#N/A</v>
      </c>
      <c r="G5" s="13" t="e">
        <f>D5*(1+F5)</f>
        <v>#N/A</v>
      </c>
      <c r="H5" s="2"/>
    </row>
    <row r="6" spans="1:8" x14ac:dyDescent="0.25">
      <c r="A6">
        <f>'Transaction Working'!B3</f>
        <v>0</v>
      </c>
      <c r="B6">
        <f>'Transaction Working'!A3</f>
        <v>0</v>
      </c>
      <c r="C6">
        <f>'Transaction Working'!C3</f>
        <v>0</v>
      </c>
      <c r="D6" s="12" t="e">
        <f>'Transaction Working'!E3</f>
        <v>#N/A</v>
      </c>
      <c r="E6" s="16" t="e">
        <f>VLOOKUP(A6,'Reference Data'!$A$1:$C$5,2,FALSE)</f>
        <v>#N/A</v>
      </c>
      <c r="F6" s="7" t="e">
        <f>VLOOKUP(A6,'Reference Data'!$A$1:$C$5,3,FALSE)</f>
        <v>#N/A</v>
      </c>
      <c r="G6" s="13" t="e">
        <f>D6*(1+F6)</f>
        <v>#N/A</v>
      </c>
      <c r="H6" s="2"/>
    </row>
    <row r="7" spans="1:8" x14ac:dyDescent="0.25">
      <c r="A7">
        <f>'Transaction Working'!B4</f>
        <v>0</v>
      </c>
      <c r="B7">
        <f>'Transaction Working'!A4</f>
        <v>0</v>
      </c>
      <c r="C7">
        <f>'Transaction Working'!C4</f>
        <v>0</v>
      </c>
      <c r="D7" s="12" t="e">
        <f>'Transaction Working'!E4</f>
        <v>#N/A</v>
      </c>
      <c r="E7" s="16" t="e">
        <f>VLOOKUP(A7,'Reference Data'!$A$1:$C$5,2,FALSE)</f>
        <v>#N/A</v>
      </c>
      <c r="F7" s="7" t="e">
        <f>VLOOKUP(A7,'Reference Data'!$A$1:$C$5,3,FALSE)</f>
        <v>#N/A</v>
      </c>
      <c r="G7" s="13" t="e">
        <f t="shared" ref="G7:G21" si="0">D7*(1+F7)</f>
        <v>#N/A</v>
      </c>
    </row>
    <row r="8" spans="1:8" x14ac:dyDescent="0.25">
      <c r="A8">
        <f>'Transaction Working'!B5</f>
        <v>0</v>
      </c>
      <c r="B8">
        <f>'Transaction Working'!A5</f>
        <v>0</v>
      </c>
      <c r="C8">
        <f>'Transaction Working'!C5</f>
        <v>0</v>
      </c>
      <c r="D8" s="12" t="e">
        <f>'Transaction Working'!E5</f>
        <v>#N/A</v>
      </c>
      <c r="E8" s="16" t="e">
        <f>VLOOKUP(A8,'Reference Data'!$A$1:$C$5,2,FALSE)</f>
        <v>#N/A</v>
      </c>
      <c r="F8" s="7" t="e">
        <f>VLOOKUP(A8,'Reference Data'!$A$1:$C$5,3,FALSE)</f>
        <v>#N/A</v>
      </c>
      <c r="G8" s="13" t="e">
        <f t="shared" si="0"/>
        <v>#N/A</v>
      </c>
    </row>
    <row r="9" spans="1:8" x14ac:dyDescent="0.25">
      <c r="A9">
        <f>'Transaction Working'!B6</f>
        <v>0</v>
      </c>
      <c r="B9">
        <f>'Transaction Working'!A6</f>
        <v>0</v>
      </c>
      <c r="C9">
        <f>'Transaction Working'!C6</f>
        <v>0</v>
      </c>
      <c r="D9" s="12">
        <f>'Transaction Working'!E6</f>
        <v>0</v>
      </c>
      <c r="E9" s="16" t="e">
        <f>VLOOKUP(A9,'Reference Data'!$A$1:$C$5,2,FALSE)</f>
        <v>#N/A</v>
      </c>
      <c r="F9" s="7" t="e">
        <f>VLOOKUP(A9,'Reference Data'!$A$1:$C$5,3,FALSE)</f>
        <v>#N/A</v>
      </c>
      <c r="G9" s="13" t="e">
        <f t="shared" si="0"/>
        <v>#N/A</v>
      </c>
    </row>
    <row r="10" spans="1:8" x14ac:dyDescent="0.25">
      <c r="A10">
        <f>'Transaction Working'!B7</f>
        <v>0</v>
      </c>
      <c r="B10">
        <f>'Transaction Working'!A7</f>
        <v>0</v>
      </c>
      <c r="C10">
        <f>'Transaction Working'!C7</f>
        <v>0</v>
      </c>
      <c r="D10" s="12">
        <f>'Transaction Working'!E7</f>
        <v>0</v>
      </c>
      <c r="E10" s="16" t="e">
        <f>VLOOKUP(A10,'Reference Data'!$A$1:$C$5,2,FALSE)</f>
        <v>#N/A</v>
      </c>
      <c r="F10" s="7" t="e">
        <f>VLOOKUP(A10,'Reference Data'!$A$1:$C$5,3,FALSE)</f>
        <v>#N/A</v>
      </c>
      <c r="G10" s="13" t="e">
        <f t="shared" si="0"/>
        <v>#N/A</v>
      </c>
    </row>
    <row r="11" spans="1:8" x14ac:dyDescent="0.25">
      <c r="A11">
        <f>'Transaction Working'!B8</f>
        <v>0</v>
      </c>
      <c r="B11">
        <f>'Transaction Working'!A8</f>
        <v>0</v>
      </c>
      <c r="C11">
        <f>'Transaction Working'!C8</f>
        <v>0</v>
      </c>
      <c r="D11" s="12">
        <f>'Transaction Working'!E8</f>
        <v>0</v>
      </c>
      <c r="E11" s="16" t="e">
        <f>VLOOKUP(A11,'Reference Data'!$A$1:$C$5,2,FALSE)</f>
        <v>#N/A</v>
      </c>
      <c r="F11" s="7" t="e">
        <f>VLOOKUP(A11,'Reference Data'!$A$1:$C$5,3,FALSE)</f>
        <v>#N/A</v>
      </c>
      <c r="G11" s="13" t="e">
        <f t="shared" si="0"/>
        <v>#N/A</v>
      </c>
    </row>
    <row r="12" spans="1:8" x14ac:dyDescent="0.25">
      <c r="A12">
        <f>'Transaction Working'!B9</f>
        <v>0</v>
      </c>
      <c r="B12">
        <f>'Transaction Working'!A9</f>
        <v>0</v>
      </c>
      <c r="C12">
        <f>'Transaction Working'!C9</f>
        <v>0</v>
      </c>
      <c r="D12" s="12">
        <f>'Transaction Working'!E9</f>
        <v>0</v>
      </c>
      <c r="E12" s="16" t="e">
        <f>VLOOKUP(A12,'Reference Data'!$A$1:$C$5,2,FALSE)</f>
        <v>#N/A</v>
      </c>
      <c r="F12" s="7" t="e">
        <f>VLOOKUP(A12,'Reference Data'!$A$1:$C$5,3,FALSE)</f>
        <v>#N/A</v>
      </c>
      <c r="G12" s="13" t="e">
        <f t="shared" si="0"/>
        <v>#N/A</v>
      </c>
    </row>
    <row r="13" spans="1:8" x14ac:dyDescent="0.25">
      <c r="A13">
        <f>'Transaction Working'!B10</f>
        <v>0</v>
      </c>
      <c r="B13">
        <f>'Transaction Working'!A10</f>
        <v>0</v>
      </c>
      <c r="C13">
        <f>'Transaction Working'!C10</f>
        <v>0</v>
      </c>
      <c r="D13" s="12">
        <f>'Transaction Working'!E10</f>
        <v>0</v>
      </c>
      <c r="E13" s="16" t="e">
        <f>VLOOKUP(A13,'Reference Data'!$A$1:$C$5,2,FALSE)</f>
        <v>#N/A</v>
      </c>
      <c r="F13" s="7" t="e">
        <f>VLOOKUP(A13,'Reference Data'!$A$1:$C$5,3,FALSE)</f>
        <v>#N/A</v>
      </c>
      <c r="G13" s="13" t="e">
        <f t="shared" si="0"/>
        <v>#N/A</v>
      </c>
    </row>
    <row r="14" spans="1:8" x14ac:dyDescent="0.25">
      <c r="A14">
        <f>'Transaction Working'!B11</f>
        <v>0</v>
      </c>
      <c r="B14">
        <f>'Transaction Working'!A11</f>
        <v>0</v>
      </c>
      <c r="C14">
        <f>'Transaction Working'!C11</f>
        <v>0</v>
      </c>
      <c r="D14" s="12">
        <f>'Transaction Working'!E11</f>
        <v>0</v>
      </c>
      <c r="E14" s="16" t="e">
        <f>VLOOKUP(A14,'Reference Data'!$A$1:$C$5,2,FALSE)</f>
        <v>#N/A</v>
      </c>
      <c r="F14" s="7" t="e">
        <f>VLOOKUP(A14,'Reference Data'!$A$1:$C$5,3,FALSE)</f>
        <v>#N/A</v>
      </c>
      <c r="G14" s="13" t="e">
        <f t="shared" si="0"/>
        <v>#N/A</v>
      </c>
    </row>
    <row r="15" spans="1:8" x14ac:dyDescent="0.25">
      <c r="A15">
        <f>'Transaction Working'!B12</f>
        <v>0</v>
      </c>
      <c r="B15">
        <f>'Transaction Working'!A12</f>
        <v>0</v>
      </c>
      <c r="C15">
        <f>'Transaction Working'!C12</f>
        <v>0</v>
      </c>
      <c r="D15" s="12">
        <f>'Transaction Working'!E12</f>
        <v>0</v>
      </c>
      <c r="E15" s="16" t="e">
        <f>VLOOKUP(A15,'Reference Data'!$A$1:$C$5,2,FALSE)</f>
        <v>#N/A</v>
      </c>
      <c r="F15" s="7" t="e">
        <f>VLOOKUP(A15,'Reference Data'!$A$1:$C$5,3,FALSE)</f>
        <v>#N/A</v>
      </c>
      <c r="G15" s="13" t="e">
        <f t="shared" si="0"/>
        <v>#N/A</v>
      </c>
    </row>
    <row r="16" spans="1:8" x14ac:dyDescent="0.25">
      <c r="A16">
        <f>'Transaction Working'!B13</f>
        <v>0</v>
      </c>
      <c r="B16">
        <f>'Transaction Working'!A13</f>
        <v>0</v>
      </c>
      <c r="C16">
        <f>'Transaction Working'!C13</f>
        <v>0</v>
      </c>
      <c r="D16" s="12">
        <f>'Transaction Working'!E13</f>
        <v>0</v>
      </c>
      <c r="E16" s="16" t="e">
        <f>VLOOKUP(A16,'Reference Data'!$A$1:$C$5,2,FALSE)</f>
        <v>#N/A</v>
      </c>
      <c r="F16" s="7" t="e">
        <f>VLOOKUP(A16,'Reference Data'!$A$1:$C$5,3,FALSE)</f>
        <v>#N/A</v>
      </c>
      <c r="G16" s="13" t="e">
        <f t="shared" si="0"/>
        <v>#N/A</v>
      </c>
    </row>
    <row r="17" spans="1:7" x14ac:dyDescent="0.25">
      <c r="A17">
        <f>'Transaction Working'!B14</f>
        <v>0</v>
      </c>
      <c r="B17">
        <f>'Transaction Working'!A14</f>
        <v>0</v>
      </c>
      <c r="C17">
        <f>'Transaction Working'!C14</f>
        <v>0</v>
      </c>
      <c r="D17" s="12">
        <f>'Transaction Working'!E14</f>
        <v>0</v>
      </c>
      <c r="E17" s="16" t="e">
        <f>VLOOKUP(A17,'Reference Data'!$A$1:$C$5,2,FALSE)</f>
        <v>#N/A</v>
      </c>
      <c r="F17" s="7" t="e">
        <f>VLOOKUP(A17,'Reference Data'!$A$1:$C$5,3,FALSE)</f>
        <v>#N/A</v>
      </c>
      <c r="G17" s="13" t="e">
        <f t="shared" si="0"/>
        <v>#N/A</v>
      </c>
    </row>
    <row r="18" spans="1:7" x14ac:dyDescent="0.25">
      <c r="A18">
        <f>'Transaction Working'!B15</f>
        <v>0</v>
      </c>
      <c r="B18">
        <f>'Transaction Working'!A15</f>
        <v>0</v>
      </c>
      <c r="C18">
        <f>'Transaction Working'!C15</f>
        <v>0</v>
      </c>
      <c r="D18" s="12">
        <f>'Transaction Working'!E15</f>
        <v>0</v>
      </c>
      <c r="E18" s="16" t="e">
        <f>VLOOKUP(A18,'Reference Data'!$A$1:$C$5,2,FALSE)</f>
        <v>#N/A</v>
      </c>
      <c r="F18" s="7" t="e">
        <f>VLOOKUP(A18,'Reference Data'!$A$1:$C$5,3,FALSE)</f>
        <v>#N/A</v>
      </c>
      <c r="G18" s="13" t="e">
        <f t="shared" si="0"/>
        <v>#N/A</v>
      </c>
    </row>
    <row r="19" spans="1:7" x14ac:dyDescent="0.25">
      <c r="A19">
        <f>'Transaction Working'!B16</f>
        <v>0</v>
      </c>
      <c r="B19">
        <f>'Transaction Working'!A16</f>
        <v>0</v>
      </c>
      <c r="C19">
        <f>'Transaction Working'!C16</f>
        <v>0</v>
      </c>
      <c r="D19" s="12">
        <f>'Transaction Working'!E16</f>
        <v>0</v>
      </c>
      <c r="E19" s="16" t="e">
        <f>VLOOKUP(A19,'Reference Data'!$A$1:$C$5,2,FALSE)</f>
        <v>#N/A</v>
      </c>
      <c r="F19" s="7" t="e">
        <f>VLOOKUP(A19,'Reference Data'!$A$1:$C$5,3,FALSE)</f>
        <v>#N/A</v>
      </c>
      <c r="G19" s="13" t="e">
        <f t="shared" si="0"/>
        <v>#N/A</v>
      </c>
    </row>
    <row r="20" spans="1:7" x14ac:dyDescent="0.25">
      <c r="A20">
        <f>'Transaction Working'!B17</f>
        <v>0</v>
      </c>
      <c r="B20">
        <f>'Transaction Working'!A17</f>
        <v>0</v>
      </c>
      <c r="C20">
        <f>'Transaction Working'!C17</f>
        <v>0</v>
      </c>
      <c r="D20" s="12">
        <f>'Transaction Working'!E17</f>
        <v>0</v>
      </c>
      <c r="E20" s="16" t="e">
        <f>VLOOKUP(A20,'Reference Data'!$A$1:$C$5,2,FALSE)</f>
        <v>#N/A</v>
      </c>
      <c r="F20" s="7" t="e">
        <f>VLOOKUP(A20,'Reference Data'!$A$1:$C$5,3,FALSE)</f>
        <v>#N/A</v>
      </c>
      <c r="G20" s="13" t="e">
        <f t="shared" si="0"/>
        <v>#N/A</v>
      </c>
    </row>
    <row r="21" spans="1:7" x14ac:dyDescent="0.25">
      <c r="A21">
        <f>'Transaction Working'!B18</f>
        <v>0</v>
      </c>
      <c r="B21">
        <f>'Transaction Working'!A18</f>
        <v>0</v>
      </c>
      <c r="C21">
        <f>'Transaction Working'!C18</f>
        <v>0</v>
      </c>
      <c r="D21" s="12">
        <f>'Transaction Working'!E18</f>
        <v>0</v>
      </c>
      <c r="E21" s="16" t="e">
        <f>VLOOKUP(A21,'Reference Data'!$A$1:$C$5,2,FALSE)</f>
        <v>#N/A</v>
      </c>
      <c r="F21" s="7" t="e">
        <f>VLOOKUP(A21,'Reference Data'!$A$1:$C$5,3,FALSE)</f>
        <v>#N/A</v>
      </c>
      <c r="G21" s="13" t="e">
        <f t="shared" si="0"/>
        <v>#N/A</v>
      </c>
    </row>
  </sheetData>
  <pageMargins left="0.7" right="0.7" top="0.75" bottom="0.75" header="0.3" footer="0.3"/>
  <pageSetup orientation="portrait" r:id="rId2"/>
  <headerFooter>
    <oddFooter>&amp;C&amp;1#&amp;"Arial"&amp;7&amp;K000000Sensitivity: Internal &amp;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8" sqref="A8"/>
    </sheetView>
  </sheetViews>
  <sheetFormatPr defaultRowHeight="15" x14ac:dyDescent="0.25"/>
  <cols>
    <col min="1" max="1" width="13.140625" style="12" bestFit="1" customWidth="1"/>
    <col min="2" max="2" width="16.28515625" customWidth="1"/>
    <col min="3" max="3" width="25.28515625" customWidth="1"/>
  </cols>
  <sheetData>
    <row r="1" spans="1:3" x14ac:dyDescent="0.25">
      <c r="A1" s="11" t="s">
        <v>2</v>
      </c>
      <c r="B1" s="3" t="s">
        <v>7</v>
      </c>
      <c r="C1" s="3" t="s">
        <v>9</v>
      </c>
    </row>
    <row r="2" spans="1:3" x14ac:dyDescent="0.25">
      <c r="A2" s="18"/>
      <c r="B2" s="3"/>
      <c r="C2" s="8"/>
    </row>
    <row r="3" spans="1:3" x14ac:dyDescent="0.25">
      <c r="A3" s="11"/>
      <c r="B3" s="3"/>
      <c r="C3" s="8"/>
    </row>
    <row r="4" spans="1:3" x14ac:dyDescent="0.25">
      <c r="A4" s="11"/>
      <c r="B4" s="3"/>
      <c r="C4" s="8"/>
    </row>
    <row r="5" spans="1:3" x14ac:dyDescent="0.25">
      <c r="A5" s="11"/>
      <c r="B5" s="3"/>
      <c r="C5" s="8"/>
    </row>
    <row r="7" spans="1:3" x14ac:dyDescent="0.25">
      <c r="A7" s="11" t="s">
        <v>4</v>
      </c>
      <c r="B7" s="3" t="s">
        <v>5</v>
      </c>
      <c r="C7" s="3" t="s">
        <v>6</v>
      </c>
    </row>
    <row r="8" spans="1:3" x14ac:dyDescent="0.25">
      <c r="A8" s="18"/>
      <c r="B8" s="3"/>
      <c r="C8" s="3"/>
    </row>
    <row r="9" spans="1:3" x14ac:dyDescent="0.25">
      <c r="A9" s="11"/>
      <c r="B9" s="3"/>
      <c r="C9" s="3"/>
    </row>
    <row r="10" spans="1:3" x14ac:dyDescent="0.25">
      <c r="A10" s="11"/>
      <c r="B10" s="3"/>
      <c r="C10" s="3"/>
    </row>
    <row r="11" spans="1:3" x14ac:dyDescent="0.25">
      <c r="A11" s="11"/>
      <c r="B11" s="3"/>
      <c r="C11" s="3"/>
    </row>
  </sheetData>
  <pageMargins left="0.7" right="0.7" top="0.75" bottom="0.75" header="0.3" footer="0.3"/>
  <pageSetup orientation="portrait" r:id="rId1"/>
  <headerFooter>
    <oddFooter>&amp;C&amp;1#&amp;"Arial"&amp;7&amp;K000000Sensitivity: Internal &amp;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1" sqref="D11"/>
    </sheetView>
  </sheetViews>
  <sheetFormatPr defaultRowHeight="15" x14ac:dyDescent="0.25"/>
  <cols>
    <col min="1" max="1" width="14.42578125" bestFit="1" customWidth="1"/>
    <col min="2" max="2" width="19.28515625" bestFit="1" customWidth="1"/>
    <col min="3" max="3" width="8.7109375" bestFit="1" customWidth="1"/>
    <col min="4" max="4" width="28.7109375" style="12" customWidth="1"/>
  </cols>
  <sheetData>
    <row r="1" spans="1:4" x14ac:dyDescent="0.25">
      <c r="A1" s="3" t="s">
        <v>7</v>
      </c>
      <c r="B1" s="3" t="s">
        <v>5</v>
      </c>
      <c r="C1" s="3" t="s">
        <v>16</v>
      </c>
      <c r="D1" s="11" t="s">
        <v>18</v>
      </c>
    </row>
    <row r="2" spans="1:4" x14ac:dyDescent="0.25">
      <c r="A2" s="3" t="e">
        <f>Pivot!E5</f>
        <v>#N/A</v>
      </c>
      <c r="B2" s="9">
        <f>Pivot!B5</f>
        <v>0</v>
      </c>
      <c r="C2" s="10">
        <f>Pivot!C5</f>
        <v>0</v>
      </c>
      <c r="D2" s="11" t="e">
        <f>Pivot!G5</f>
        <v>#N/A</v>
      </c>
    </row>
    <row r="3" spans="1:4" x14ac:dyDescent="0.25">
      <c r="A3" s="3" t="e">
        <f>Pivot!E6</f>
        <v>#N/A</v>
      </c>
      <c r="B3" s="9">
        <f>Pivot!B6</f>
        <v>0</v>
      </c>
      <c r="C3" s="10">
        <f>Pivot!C6</f>
        <v>0</v>
      </c>
      <c r="D3" s="11" t="e">
        <f>Pivot!G6</f>
        <v>#N/A</v>
      </c>
    </row>
    <row r="4" spans="1:4" x14ac:dyDescent="0.25">
      <c r="A4" s="3" t="e">
        <f>Pivot!E7</f>
        <v>#N/A</v>
      </c>
      <c r="B4" s="9">
        <f>Pivot!B7</f>
        <v>0</v>
      </c>
      <c r="C4" s="10">
        <f>Pivot!C7</f>
        <v>0</v>
      </c>
      <c r="D4" s="11" t="e">
        <f>Pivot!G7</f>
        <v>#N/A</v>
      </c>
    </row>
    <row r="5" spans="1:4" x14ac:dyDescent="0.25">
      <c r="A5" s="3" t="e">
        <f>Pivot!E8</f>
        <v>#N/A</v>
      </c>
      <c r="B5" s="9">
        <f>Pivot!B8</f>
        <v>0</v>
      </c>
      <c r="C5" s="10">
        <f>Pivot!C8</f>
        <v>0</v>
      </c>
      <c r="D5" s="11" t="e">
        <f>Pivot!G8</f>
        <v>#N/A</v>
      </c>
    </row>
  </sheetData>
  <pageMargins left="0.7" right="0.7" top="0.75" bottom="0.75" header="0.3" footer="0.3"/>
  <pageSetup orientation="portrait" r:id="rId1"/>
  <headerFooter>
    <oddFooter>&amp;C&amp;1#&amp;"Arial"&amp;7&amp;K000000Sensitivity: Internal &amp;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7B1F5AEC085D43BF64F36480A86CCD" ma:contentTypeVersion="10" ma:contentTypeDescription="Create a new document." ma:contentTypeScope="" ma:versionID="2d46f2cffc829d5c5132c5f908a22e13">
  <xsd:schema xmlns:xsd="http://www.w3.org/2001/XMLSchema" xmlns:xs="http://www.w3.org/2001/XMLSchema" xmlns:p="http://schemas.microsoft.com/office/2006/metadata/properties" xmlns:ns3="b4ac8558-82dc-42a5-986f-c68b2db97f9d" xmlns:ns4="c6bfa299-6d98-474f-83a5-3d03081e29bf" targetNamespace="http://schemas.microsoft.com/office/2006/metadata/properties" ma:root="true" ma:fieldsID="a192b13c7059d901d2038ee7d41733ec" ns3:_="" ns4:_="">
    <xsd:import namespace="b4ac8558-82dc-42a5-986f-c68b2db97f9d"/>
    <xsd:import namespace="c6bfa299-6d98-474f-83a5-3d03081e29b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ac8558-82dc-42a5-986f-c68b2db97f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fa299-6d98-474f-83a5-3d03081e2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1B68B1-B9A5-4A96-B7C7-D2DB26D9D42A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c6bfa299-6d98-474f-83a5-3d03081e29bf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4ac8558-82dc-42a5-986f-c68b2db97f9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FCA8568-2402-437D-839F-D01D363987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63D5EE-CA7D-430A-BF61-A6F9623D4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ac8558-82dc-42a5-986f-c68b2db97f9d"/>
    <ds:schemaRef ds:uri="c6bfa299-6d98-474f-83a5-3d03081e29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 Working</vt:lpstr>
      <vt:lpstr>FX_Conversion Rate</vt:lpstr>
      <vt:lpstr>Pivot</vt:lpstr>
      <vt:lpstr>Reference Data</vt:lpstr>
      <vt:lpstr>Output file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Dikshit (Finance Solutions)</dc:creator>
  <cp:lastModifiedBy>Preeti Sangtani</cp:lastModifiedBy>
  <dcterms:created xsi:type="dcterms:W3CDTF">2020-08-24T13:42:13Z</dcterms:created>
  <dcterms:modified xsi:type="dcterms:W3CDTF">2021-02-11T13:54:32Z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SH394159@wipro.com</vt:lpwstr>
  </property>
  <property fmtid="{D5CDD505-2E9C-101B-9397-08002B2CF9AE}" pid="5" name="MSIP_Label_b9a70571-31c6-4603-80c1-ef2fb871a62a_SetDate">
    <vt:lpwstr>2020-08-24T14:02:16.0225110Z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39fc5701-7b29-4140-b1e0-5a460b78c11b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  <property fmtid="{D5CDD505-2E9C-101B-9397-08002B2CF9AE}" pid="11" name="ContentTypeId">
    <vt:lpwstr>0x010100527B1F5AEC085D43BF64F36480A86CCD</vt:lpwstr>
  </property>
</Properties>
</file>