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8_{E5573B38-714E-4C59-AB7E-F50977FCBF69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Input" sheetId="4" r:id="rId1"/>
    <sheet name="Working" sheetId="1" r:id="rId2"/>
    <sheet name="Output" sheetId="7" r:id="rId3"/>
  </sheets>
  <definedNames>
    <definedName name="_xlnm._FilterDatabase" localSheetId="1" hidden="1">Working!$A$1:$I$15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7" l="1"/>
  <c r="N7" i="7"/>
  <c r="N6" i="7"/>
  <c r="N5" i="7"/>
  <c r="D25" i="1" l="1"/>
  <c r="D24" i="1"/>
</calcChain>
</file>

<file path=xl/sharedStrings.xml><?xml version="1.0" encoding="utf-8"?>
<sst xmlns="http://schemas.openxmlformats.org/spreadsheetml/2006/main" count="262" uniqueCount="101">
  <si>
    <t>CountryCode</t>
  </si>
  <si>
    <t>SourceSystem</t>
  </si>
  <si>
    <t>Book Date</t>
  </si>
  <si>
    <t>Settle Date</t>
  </si>
  <si>
    <t>CounterParty</t>
  </si>
  <si>
    <t xml:space="preserve">Customer </t>
  </si>
  <si>
    <t>Bond</t>
  </si>
  <si>
    <t>Type</t>
  </si>
  <si>
    <t>Clean Market Value</t>
  </si>
  <si>
    <t>Difference</t>
  </si>
  <si>
    <t>(blank)</t>
  </si>
  <si>
    <t>(Multiple Items)</t>
  </si>
  <si>
    <t>Sum of Clean Market Value</t>
  </si>
  <si>
    <t>CMP</t>
  </si>
  <si>
    <t>Business Attribute Name</t>
  </si>
  <si>
    <t>country</t>
  </si>
  <si>
    <t>branch</t>
  </si>
  <si>
    <t>adjustment_type</t>
  </si>
  <si>
    <t>orig_unit</t>
  </si>
  <si>
    <t>supplement</t>
  </si>
  <si>
    <t>reversal_flag</t>
  </si>
  <si>
    <t>map2_asset_pal_cat</t>
  </si>
  <si>
    <t>map2_liab_pal_cat</t>
  </si>
  <si>
    <t>transaction_id</t>
  </si>
  <si>
    <t>prod_cat</t>
  </si>
  <si>
    <t>ccy</t>
  </si>
  <si>
    <t>P&amp;L/BS Indicator</t>
  </si>
  <si>
    <t>eop_balance_lcy/Profit_loss_lcy</t>
  </si>
  <si>
    <t>Journal Entry Booking Date</t>
  </si>
  <si>
    <t>Source System Arrangement ID</t>
  </si>
  <si>
    <t>Source System Financial Market Position ID</t>
  </si>
  <si>
    <t>Core Feed ID</t>
  </si>
  <si>
    <t>Leg Number</t>
  </si>
  <si>
    <t>GENESIS Feed ID Linkage</t>
  </si>
  <si>
    <t>sequence</t>
  </si>
  <si>
    <t>adj_group_no</t>
  </si>
  <si>
    <t>reason</t>
  </si>
  <si>
    <t>Currency Code-Functional CCY</t>
  </si>
  <si>
    <t>GAAP Type</t>
  </si>
  <si>
    <t>Accounting Entry Amount-Transaction ccy</t>
  </si>
  <si>
    <t>Currency Code-Reporting CCY</t>
  </si>
  <si>
    <t>Accounting Entry Amount -Reporting CCY</t>
  </si>
  <si>
    <t>Local Cost Code</t>
  </si>
  <si>
    <t>Local Product ID</t>
  </si>
  <si>
    <t>GL Account 1</t>
  </si>
  <si>
    <t>GL Account 1 Description</t>
  </si>
  <si>
    <t>GL Account 2</t>
  </si>
  <si>
    <t>GL Account 2 Description</t>
  </si>
  <si>
    <t>FDL Account</t>
  </si>
  <si>
    <t>GOC</t>
  </si>
  <si>
    <t>Micro Control Strat Code / Open Filed1</t>
  </si>
  <si>
    <t>Key Code1 / Open Field2</t>
  </si>
  <si>
    <t>FRS Affiliate Code</t>
  </si>
  <si>
    <t>Condiline</t>
  </si>
  <si>
    <t>Maker ID</t>
  </si>
  <si>
    <t>Checker ID</t>
  </si>
  <si>
    <t>Errors</t>
  </si>
  <si>
    <t>Warnings</t>
  </si>
  <si>
    <t>Time Balance</t>
  </si>
  <si>
    <t>Full Key Transaction Count</t>
  </si>
  <si>
    <t>Credit/Debit Flag</t>
  </si>
  <si>
    <t>GENESIS Daily Flag</t>
  </si>
  <si>
    <t>GENESIS End Date</t>
  </si>
  <si>
    <t>Data Type &amp; Length</t>
  </si>
  <si>
    <t>CHAR(2)</t>
  </si>
  <si>
    <t>INTEGER(3)</t>
  </si>
  <si>
    <t>CHAR(48)</t>
  </si>
  <si>
    <t>CHAR(1)</t>
  </si>
  <si>
    <t>INTEGER(15)</t>
  </si>
  <si>
    <t>VARCHAR(18)</t>
  </si>
  <si>
    <t>CHAR(3)</t>
  </si>
  <si>
    <t>NUMERIC(18,2)</t>
  </si>
  <si>
    <t>DATE(MMDDYYYY)</t>
  </si>
  <si>
    <t>VARCHAR(40)</t>
  </si>
  <si>
    <t>CHAR(40)</t>
  </si>
  <si>
    <t>CHAR(300)</t>
  </si>
  <si>
    <t>INTEGER(8)</t>
  </si>
  <si>
    <t>NUMERIC(15,2)</t>
  </si>
  <si>
    <t>CHAR(6)</t>
  </si>
  <si>
    <t>CHAR(20)</t>
  </si>
  <si>
    <t>CHAR(100)</t>
  </si>
  <si>
    <t>CHAR(10)</t>
  </si>
  <si>
    <t>VARCHAR2(4000)</t>
  </si>
  <si>
    <t>INTEGER(20)</t>
  </si>
  <si>
    <t>DATE (DDMMYYYY)</t>
  </si>
  <si>
    <t>Mandatory/Optional/Derived</t>
  </si>
  <si>
    <t>M</t>
  </si>
  <si>
    <t>C</t>
  </si>
  <si>
    <t>D</t>
  </si>
  <si>
    <t>O</t>
  </si>
  <si>
    <t>Read-only/Editable</t>
  </si>
  <si>
    <t>EDITABLE</t>
  </si>
  <si>
    <t>READ ONLY</t>
  </si>
  <si>
    <t>READ-ONLY</t>
  </si>
  <si>
    <t>ZA</t>
  </si>
  <si>
    <t>00</t>
  </si>
  <si>
    <t>AA</t>
  </si>
  <si>
    <t>Non regway Settlement</t>
  </si>
  <si>
    <t>ZAR</t>
  </si>
  <si>
    <t>E</t>
  </si>
  <si>
    <t>07112022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</si>
</sst>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2" borderId="0" xfId="0" applyFill="1"/>
    <xf numFmtId="164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0" fillId="5" borderId="0" xfId="0" applyFill="1"/>
    <xf numFmtId="0" fontId="0" fillId="0" borderId="0" xfId="0" pivotButton="1"/>
    <xf numFmtId="0" fontId="0" fillId="6" borderId="0" xfId="0" applyFill="1"/>
    <xf numFmtId="2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097.590217129633" createdVersion="6" refreshedVersion="8" minRefreshableVersion="3" recordCount="15" xr:uid="{00000000-000A-0000-FFFF-FFFF00000000}">
  <cacheSource type="worksheet">
    <worksheetSource ref="A1:I16" sheet="Working"/>
  </cacheSource>
  <cacheFields count="9">
    <cacheField name="SourceSystem" numFmtId="0">
      <sharedItems containsNonDate="0" containsBlank="1" count="3">
        <m/>
        <s v="Local" u="1"/>
        <s v="Internal" u="1"/>
      </sharedItems>
    </cacheField>
    <cacheField name="Book Date" numFmtId="0">
      <sharedItems containsNonDate="0" containsString="0" containsBlank="1"/>
    </cacheField>
    <cacheField name="Settle Date" numFmtId="0">
      <sharedItems containsNonDate="0" containsString="0" containsBlank="1"/>
    </cacheField>
    <cacheField name="Difference" numFmtId="0">
      <sharedItems containsNonDate="0" containsString="0" containsBlank="1" containsNumber="1" containsInteger="1" minValue="3" maxValue="5" count="4">
        <m/>
        <n v="5" u="1"/>
        <n v="3" u="1"/>
        <n v="4" u="1"/>
      </sharedItems>
    </cacheField>
    <cacheField name="CounterParty" numFmtId="0">
      <sharedItems containsNonDate="0" containsString="0" containsBlank="1"/>
    </cacheField>
    <cacheField name="Customer " numFmtId="0">
      <sharedItems containsNonDate="0" containsBlank="1" count="4">
        <m/>
        <s v="ABC LTD " u="1"/>
        <s v="XYZ LTD" u="1"/>
        <s v="PQR LTD" u="1"/>
      </sharedItems>
    </cacheField>
    <cacheField name="Bond" numFmtId="0">
      <sharedItems containsNonDate="0" containsString="0" containsBlank="1"/>
    </cacheField>
    <cacheField name="Type" numFmtId="0">
      <sharedItems containsNonDate="0" containsBlank="1" count="3">
        <m/>
        <s v="Buy" u="1"/>
        <s v="Sell" u="1"/>
      </sharedItems>
    </cacheField>
    <cacheField name="Clean Market Value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m/>
    <m/>
    <x v="0"/>
    <m/>
    <x v="0"/>
    <m/>
    <x v="0"/>
    <m/>
  </r>
  <r>
    <x v="0"/>
    <m/>
    <m/>
    <x v="0"/>
    <m/>
    <x v="0"/>
    <m/>
    <x v="0"/>
    <m/>
  </r>
  <r>
    <x v="0"/>
    <m/>
    <m/>
    <x v="0"/>
    <m/>
    <x v="0"/>
    <m/>
    <x v="0"/>
    <m/>
  </r>
  <r>
    <x v="0"/>
    <m/>
    <m/>
    <x v="0"/>
    <m/>
    <x v="0"/>
    <m/>
    <x v="0"/>
    <m/>
  </r>
  <r>
    <x v="0"/>
    <m/>
    <m/>
    <x v="0"/>
    <m/>
    <x v="0"/>
    <m/>
    <x v="0"/>
    <m/>
  </r>
  <r>
    <x v="0"/>
    <m/>
    <m/>
    <x v="0"/>
    <m/>
    <x v="0"/>
    <m/>
    <x v="0"/>
    <m/>
  </r>
  <r>
    <x v="0"/>
    <m/>
    <m/>
    <x v="0"/>
    <m/>
    <x v="0"/>
    <m/>
    <x v="0"/>
    <m/>
  </r>
  <r>
    <x v="0"/>
    <m/>
    <m/>
    <x v="0"/>
    <m/>
    <x v="0"/>
    <m/>
    <x v="0"/>
    <m/>
  </r>
  <r>
    <x v="0"/>
    <m/>
    <m/>
    <x v="0"/>
    <m/>
    <x v="0"/>
    <m/>
    <x v="0"/>
    <m/>
  </r>
  <r>
    <x v="0"/>
    <m/>
    <m/>
    <x v="0"/>
    <m/>
    <x v="0"/>
    <m/>
    <x v="0"/>
    <m/>
  </r>
  <r>
    <x v="0"/>
    <m/>
    <m/>
    <x v="0"/>
    <m/>
    <x v="0"/>
    <m/>
    <x v="0"/>
    <m/>
  </r>
  <r>
    <x v="0"/>
    <m/>
    <m/>
    <x v="0"/>
    <m/>
    <x v="0"/>
    <m/>
    <x v="0"/>
    <m/>
  </r>
  <r>
    <x v="0"/>
    <m/>
    <m/>
    <x v="0"/>
    <m/>
    <x v="0"/>
    <m/>
    <x v="0"/>
    <m/>
  </r>
  <r>
    <x v="0"/>
    <m/>
    <m/>
    <x v="0"/>
    <m/>
    <x v="0"/>
    <m/>
    <x v="0"/>
    <m/>
  </r>
  <r>
    <x v="0"/>
    <m/>
    <m/>
    <x v="0"/>
    <m/>
    <x v="0"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22:B23" firstHeaderRow="1" firstDataRow="2" firstDataCol="1" rowPageCount="2" colPageCount="1"/>
  <pivotFields count="9">
    <pivotField axis="axisPage" compact="0" outline="0" showAll="0">
      <items count="4">
        <item m="1" x="2"/>
        <item m="1" x="1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5">
        <item h="1" m="1" x="2"/>
        <item m="1" x="3"/>
        <item m="1" x="1"/>
        <item h="1" x="0"/>
        <item t="default"/>
      </items>
    </pivotField>
    <pivotField compact="0" outline="0" showAll="0"/>
    <pivotField axis="axisRow" compact="0" outline="0" showAll="0" defaultSubtotal="0">
      <items count="4">
        <item m="1" x="1"/>
        <item m="1" x="3"/>
        <item m="1" x="2"/>
        <item x="0"/>
      </items>
    </pivotField>
    <pivotField compact="0" outline="0" showAll="0"/>
    <pivotField axis="axisCol" compact="0" outline="0" showAll="0">
      <items count="4">
        <item m="1" x="1"/>
        <item m="1" x="2"/>
        <item x="0"/>
        <item t="default"/>
      </items>
    </pivotField>
    <pivotField dataField="1" compact="0" outline="0" showAll="0"/>
  </pivotFields>
  <rowFields count="1">
    <field x="5"/>
  </rowFields>
  <colFields count="1">
    <field x="7"/>
  </colFields>
  <pageFields count="2">
    <pageField fld="0" item="2" hier="-1"/>
    <pageField fld="3" hier="-1"/>
  </pageFields>
  <dataFields count="1">
    <dataField name="Sum of Clean Market Value" fld="8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selection activeCell="A2" sqref="A2:I15"/>
    </sheetView>
  </sheetViews>
  <sheetFormatPr defaultRowHeight="15" x14ac:dyDescent="0.25"/>
  <cols>
    <col min="2" max="2" width="15.85546875" bestFit="1" customWidth="1"/>
    <col min="3" max="3" width="12.28515625" bestFit="1" customWidth="1"/>
    <col min="4" max="4" width="13.140625" bestFit="1" customWidth="1"/>
    <col min="5" max="5" width="15" bestFit="1" customWidth="1"/>
    <col min="6" max="6" width="12.28515625" bestFit="1" customWidth="1"/>
    <col min="7" max="7" width="8.5703125" customWidth="1"/>
    <col min="8" max="8" width="7.5703125" customWidth="1"/>
    <col min="9" max="9" width="20.85546875" bestFit="1" customWidth="1"/>
    <col min="10" max="10" width="11.28515625" bestFit="1" customWidth="1"/>
  </cols>
  <sheetData>
    <row r="1" spans="1:9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9" x14ac:dyDescent="0.25">
      <c r="C2" s="1"/>
      <c r="D2" s="1"/>
      <c r="I2" s="3"/>
    </row>
    <row r="3" spans="1:9" x14ac:dyDescent="0.25">
      <c r="C3" s="1"/>
      <c r="D3" s="1"/>
      <c r="I3" s="3"/>
    </row>
    <row r="4" spans="1:9" x14ac:dyDescent="0.25">
      <c r="C4" s="1"/>
      <c r="D4" s="1"/>
      <c r="I4" s="3"/>
    </row>
    <row r="5" spans="1:9" x14ac:dyDescent="0.25">
      <c r="C5" s="1"/>
      <c r="D5" s="1"/>
      <c r="I5" s="3"/>
    </row>
    <row r="6" spans="1:9" x14ac:dyDescent="0.25">
      <c r="C6" s="1"/>
      <c r="D6" s="1"/>
      <c r="I6" s="3"/>
    </row>
    <row r="7" spans="1:9" x14ac:dyDescent="0.25">
      <c r="C7" s="1"/>
      <c r="D7" s="1"/>
      <c r="I7" s="3"/>
    </row>
    <row r="8" spans="1:9" x14ac:dyDescent="0.25">
      <c r="C8" s="1"/>
      <c r="D8" s="1"/>
      <c r="I8" s="3"/>
    </row>
    <row r="9" spans="1:9" x14ac:dyDescent="0.25">
      <c r="C9" s="1"/>
      <c r="D9" s="1"/>
      <c r="I9" s="3"/>
    </row>
    <row r="10" spans="1:9" x14ac:dyDescent="0.25">
      <c r="C10" s="1"/>
      <c r="D10" s="1"/>
      <c r="I10" s="3"/>
    </row>
    <row r="11" spans="1:9" x14ac:dyDescent="0.25">
      <c r="C11" s="1"/>
      <c r="D11" s="1"/>
      <c r="I11" s="3"/>
    </row>
    <row r="12" spans="1:9" x14ac:dyDescent="0.25">
      <c r="C12" s="1"/>
      <c r="D12" s="1"/>
      <c r="I12" s="3"/>
    </row>
    <row r="13" spans="1:9" x14ac:dyDescent="0.25">
      <c r="C13" s="1"/>
      <c r="D13" s="1"/>
      <c r="I13" s="3"/>
    </row>
    <row r="14" spans="1:9" x14ac:dyDescent="0.25">
      <c r="C14" s="1"/>
      <c r="D14" s="1"/>
      <c r="I14" s="3"/>
    </row>
    <row r="15" spans="1:9" x14ac:dyDescent="0.25">
      <c r="C15" s="1"/>
      <c r="D15" s="1"/>
      <c r="I15" s="3"/>
    </row>
    <row r="16" spans="1:9" x14ac:dyDescent="0.25">
      <c r="I16" s="3"/>
    </row>
    <row r="17" spans="9:9" x14ac:dyDescent="0.25">
      <c r="I17" s="3"/>
    </row>
    <row r="18" spans="9:9" x14ac:dyDescent="0.25">
      <c r="I18" s="3"/>
    </row>
  </sheetData>
  <pageMargins left="0.7" right="0.7" top="0.75" bottom="0.75" header="0.3" footer="0.3"/>
  <pageSetup orientation="portrait" horizontalDpi="300" verticalDpi="300" r:id="rId1"/>
  <headerFooter>
    <oddFooter>&amp;C&amp;1#&amp;"Arial"&amp;7&amp;K000000Sensitivity: Internal &amp;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selection activeCell="D25" sqref="D25"/>
    </sheetView>
  </sheetViews>
  <sheetFormatPr defaultRowHeight="15" x14ac:dyDescent="0.25"/>
  <cols>
    <col min="1" max="1" width="25.5703125" customWidth="1"/>
    <col min="2" max="2" width="17.85546875" customWidth="1"/>
    <col min="3" max="4" width="12.7109375" customWidth="1"/>
    <col min="5" max="5" width="15" bestFit="1" customWidth="1"/>
    <col min="6" max="6" width="12.28515625" bestFit="1" customWidth="1"/>
    <col min="7" max="7" width="8.5703125" customWidth="1"/>
    <col min="8" max="8" width="8.5703125" bestFit="1" customWidth="1"/>
    <col min="9" max="9" width="20.85546875" bestFit="1" customWidth="1"/>
    <col min="10" max="10" width="11.28515625" bestFit="1" customWidth="1"/>
    <col min="11" max="11" width="13.140625" bestFit="1" customWidth="1"/>
  </cols>
  <sheetData>
    <row r="1" spans="1:9" x14ac:dyDescent="0.25">
      <c r="A1" t="s">
        <v>1</v>
      </c>
      <c r="B1" t="s">
        <v>2</v>
      </c>
      <c r="C1" t="s">
        <v>3</v>
      </c>
      <c r="D1" s="2" t="s">
        <v>9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 s="1"/>
      <c r="C2" s="1"/>
      <c r="D2" s="2"/>
      <c r="I2" s="3"/>
    </row>
    <row r="3" spans="1:9" x14ac:dyDescent="0.25">
      <c r="B3" s="1"/>
      <c r="C3" s="1"/>
      <c r="D3" s="2"/>
      <c r="I3" s="3"/>
    </row>
    <row r="4" spans="1:9" x14ac:dyDescent="0.25">
      <c r="B4" s="1"/>
      <c r="C4" s="1"/>
      <c r="D4" s="2"/>
      <c r="I4" s="3"/>
    </row>
    <row r="5" spans="1:9" x14ac:dyDescent="0.25">
      <c r="B5" s="1"/>
      <c r="C5" s="1"/>
      <c r="D5" s="2"/>
      <c r="I5" s="3"/>
    </row>
    <row r="6" spans="1:9" x14ac:dyDescent="0.25">
      <c r="B6" s="1"/>
      <c r="C6" s="1"/>
      <c r="D6" s="2"/>
      <c r="I6" s="3"/>
    </row>
    <row r="7" spans="1:9" x14ac:dyDescent="0.25">
      <c r="B7" s="1"/>
      <c r="C7" s="1"/>
      <c r="D7" s="2"/>
      <c r="I7" s="3"/>
    </row>
    <row r="8" spans="1:9" x14ac:dyDescent="0.25">
      <c r="B8" s="1"/>
      <c r="C8" s="1"/>
      <c r="D8" s="2"/>
      <c r="I8" s="3"/>
    </row>
    <row r="9" spans="1:9" x14ac:dyDescent="0.25">
      <c r="B9" s="1"/>
      <c r="C9" s="1"/>
      <c r="D9" s="2"/>
      <c r="I9" s="3"/>
    </row>
    <row r="10" spans="1:9" x14ac:dyDescent="0.25">
      <c r="B10" s="1"/>
      <c r="C10" s="1"/>
      <c r="D10" s="2"/>
      <c r="I10" s="3"/>
    </row>
    <row r="11" spans="1:9" x14ac:dyDescent="0.25">
      <c r="B11" s="1"/>
      <c r="C11" s="1"/>
      <c r="D11" s="2"/>
      <c r="I11" s="3"/>
    </row>
    <row r="12" spans="1:9" x14ac:dyDescent="0.25">
      <c r="B12" s="1"/>
      <c r="C12" s="1"/>
      <c r="D12" s="2"/>
      <c r="I12" s="3"/>
    </row>
    <row r="13" spans="1:9" x14ac:dyDescent="0.25">
      <c r="B13" s="1"/>
      <c r="C13" s="1"/>
      <c r="D13" s="2"/>
      <c r="I13" s="3"/>
    </row>
    <row r="14" spans="1:9" x14ac:dyDescent="0.25">
      <c r="B14" s="1"/>
      <c r="C14" s="1"/>
      <c r="D14" s="2"/>
      <c r="I14" s="3"/>
    </row>
    <row r="15" spans="1:9" x14ac:dyDescent="0.25">
      <c r="B15" s="1"/>
      <c r="C15" s="1"/>
      <c r="D15" s="2"/>
      <c r="I15" s="3"/>
    </row>
    <row r="16" spans="1:9" x14ac:dyDescent="0.25">
      <c r="I16" s="3"/>
    </row>
    <row r="17" spans="1:9" x14ac:dyDescent="0.25">
      <c r="I17" s="3"/>
    </row>
    <row r="19" spans="1:9" x14ac:dyDescent="0.25">
      <c r="A19" s="16" t="s">
        <v>1</v>
      </c>
      <c r="B19" t="s">
        <v>10</v>
      </c>
    </row>
    <row r="20" spans="1:9" x14ac:dyDescent="0.25">
      <c r="A20" s="16" t="s">
        <v>9</v>
      </c>
      <c r="B20" t="s">
        <v>11</v>
      </c>
    </row>
    <row r="22" spans="1:9" x14ac:dyDescent="0.25">
      <c r="A22" s="16" t="s">
        <v>12</v>
      </c>
      <c r="B22" s="16" t="s">
        <v>7</v>
      </c>
    </row>
    <row r="23" spans="1:9" x14ac:dyDescent="0.25">
      <c r="A23" s="16" t="s">
        <v>5</v>
      </c>
      <c r="D23" s="17" t="s">
        <v>13</v>
      </c>
    </row>
    <row r="24" spans="1:9" x14ac:dyDescent="0.25">
      <c r="D24">
        <f>C24+B24</f>
        <v>0</v>
      </c>
    </row>
    <row r="25" spans="1:9" x14ac:dyDescent="0.25">
      <c r="D25">
        <f>C25+B25</f>
        <v>0</v>
      </c>
    </row>
  </sheetData>
  <autoFilter ref="A1:I15" xr:uid="{00000000-0009-0000-0000-000001000000}"/>
  <pageMargins left="0.7" right="0.7" top="0.75" bottom="0.75" header="0.3" footer="0.3"/>
  <pageSetup orientation="portrait" r:id="rId2"/>
  <headerFooter>
    <oddFooter>&amp;C&amp;1#&amp;"Arial"&amp;7&amp;K000000Sensitivity: Internal &amp;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34"/>
  <sheetViews>
    <sheetView tabSelected="1" topLeftCell="N1" workbookViewId="0">
      <selection activeCell="Q13" sqref="Q13"/>
    </sheetView>
  </sheetViews>
  <sheetFormatPr defaultRowHeight="15" x14ac:dyDescent="0.25"/>
  <cols>
    <col min="1" max="1" width="24.5703125" bestFit="1" customWidth="1"/>
    <col min="3" max="3" width="10.85546875" bestFit="1" customWidth="1"/>
    <col min="4" max="4" width="14.5703125" bestFit="1" customWidth="1"/>
    <col min="5" max="5" width="10.85546875" bestFit="1" customWidth="1"/>
    <col min="6" max="6" width="22.42578125" bestFit="1" customWidth="1"/>
    <col min="7" max="7" width="10.85546875" bestFit="1" customWidth="1"/>
    <col min="8" max="8" width="16.7109375" bestFit="1" customWidth="1"/>
    <col min="9" max="9" width="15.42578125" bestFit="1" customWidth="1"/>
    <col min="10" max="10" width="13.140625" bestFit="1" customWidth="1"/>
    <col min="11" max="11" width="11.85546875" bestFit="1" customWidth="1"/>
    <col min="13" max="13" width="14.28515625" bestFit="1" customWidth="1"/>
    <col min="14" max="14" width="26" bestFit="1" customWidth="1"/>
    <col min="15" max="15" width="22.28515625" bestFit="1" customWidth="1"/>
    <col min="16" max="16" width="26" bestFit="1" customWidth="1"/>
    <col min="17" max="17" width="35.140625" bestFit="1" customWidth="1"/>
    <col min="18" max="18" width="11" bestFit="1" customWidth="1"/>
    <col min="19" max="19" width="10.85546875" bestFit="1" customWidth="1"/>
    <col min="20" max="20" width="20.140625" bestFit="1" customWidth="1"/>
    <col min="21" max="21" width="10.85546875" bestFit="1" customWidth="1"/>
    <col min="22" max="22" width="11.5703125" bestFit="1" customWidth="1"/>
    <col min="23" max="23" width="13.140625" bestFit="1" customWidth="1"/>
    <col min="24" max="24" width="24.85546875" bestFit="1" customWidth="1"/>
    <col min="25" max="25" width="10.85546875" bestFit="1" customWidth="1"/>
    <col min="26" max="26" width="34" bestFit="1" customWidth="1"/>
    <col min="27" max="27" width="24.5703125" bestFit="1" customWidth="1"/>
    <col min="28" max="28" width="34" bestFit="1" customWidth="1"/>
    <col min="29" max="29" width="13.28515625" bestFit="1" customWidth="1"/>
    <col min="30" max="30" width="13.5703125" bestFit="1" customWidth="1"/>
    <col min="31" max="31" width="11.140625" bestFit="1" customWidth="1"/>
    <col min="32" max="32" width="20.7109375" bestFit="1" customWidth="1"/>
    <col min="33" max="33" width="11.140625" bestFit="1" customWidth="1"/>
    <col min="34" max="34" width="20.7109375" bestFit="1" customWidth="1"/>
    <col min="35" max="36" width="11.140625" bestFit="1" customWidth="1"/>
    <col min="37" max="37" width="32.28515625" bestFit="1" customWidth="1"/>
    <col min="38" max="38" width="20.7109375" bestFit="1" customWidth="1"/>
    <col min="39" max="39" width="14.85546875" bestFit="1" customWidth="1"/>
    <col min="40" max="42" width="11.140625" bestFit="1" customWidth="1"/>
    <col min="43" max="44" width="16.140625" bestFit="1" customWidth="1"/>
    <col min="45" max="45" width="11.140625" bestFit="1" customWidth="1"/>
    <col min="46" max="46" width="21.85546875" bestFit="1" customWidth="1"/>
    <col min="47" max="47" width="14.5703125" bestFit="1" customWidth="1"/>
    <col min="48" max="48" width="15" bestFit="1" customWidth="1"/>
    <col min="49" max="49" width="17.7109375" bestFit="1" customWidth="1"/>
  </cols>
  <sheetData>
    <row r="1" spans="1:49" x14ac:dyDescent="0.25">
      <c r="A1" s="4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6" t="s">
        <v>34</v>
      </c>
      <c r="V1" s="5" t="s">
        <v>35</v>
      </c>
      <c r="W1" s="6" t="s">
        <v>36</v>
      </c>
      <c r="X1" s="6" t="s">
        <v>37</v>
      </c>
      <c r="Y1" s="6" t="s">
        <v>38</v>
      </c>
      <c r="Z1" s="6" t="s">
        <v>39</v>
      </c>
      <c r="AA1" s="6" t="s">
        <v>40</v>
      </c>
      <c r="AB1" s="6" t="s">
        <v>41</v>
      </c>
      <c r="AC1" s="6" t="s">
        <v>42</v>
      </c>
      <c r="AD1" s="6" t="s">
        <v>43</v>
      </c>
      <c r="AE1" s="6" t="s">
        <v>44</v>
      </c>
      <c r="AF1" s="6" t="s">
        <v>45</v>
      </c>
      <c r="AG1" s="6" t="s">
        <v>46</v>
      </c>
      <c r="AH1" s="6" t="s">
        <v>47</v>
      </c>
      <c r="AI1" s="6" t="s">
        <v>48</v>
      </c>
      <c r="AJ1" s="6" t="s">
        <v>49</v>
      </c>
      <c r="AK1" s="6" t="s">
        <v>50</v>
      </c>
      <c r="AL1" s="6" t="s">
        <v>51</v>
      </c>
      <c r="AM1" s="6" t="s">
        <v>52</v>
      </c>
      <c r="AN1" s="6" t="s">
        <v>53</v>
      </c>
      <c r="AO1" s="6" t="s">
        <v>54</v>
      </c>
      <c r="AP1" s="6" t="s">
        <v>55</v>
      </c>
      <c r="AQ1" s="6" t="s">
        <v>56</v>
      </c>
      <c r="AR1" s="6" t="s">
        <v>57</v>
      </c>
      <c r="AS1" s="6" t="s">
        <v>58</v>
      </c>
      <c r="AT1" s="6" t="s">
        <v>59</v>
      </c>
      <c r="AU1" s="6" t="s">
        <v>60</v>
      </c>
      <c r="AV1" s="5" t="s">
        <v>61</v>
      </c>
      <c r="AW1" s="5" t="s">
        <v>62</v>
      </c>
    </row>
    <row r="2" spans="1:49" x14ac:dyDescent="0.25">
      <c r="A2" s="4" t="s">
        <v>63</v>
      </c>
      <c r="B2" s="7" t="s">
        <v>64</v>
      </c>
      <c r="C2" s="7" t="s">
        <v>65</v>
      </c>
      <c r="D2" s="7" t="s">
        <v>64</v>
      </c>
      <c r="E2" s="7" t="s">
        <v>65</v>
      </c>
      <c r="F2" s="7" t="s">
        <v>66</v>
      </c>
      <c r="G2" s="7" t="s">
        <v>67</v>
      </c>
      <c r="H2" s="7" t="s">
        <v>68</v>
      </c>
      <c r="I2" s="7" t="s">
        <v>68</v>
      </c>
      <c r="J2" s="7" t="s">
        <v>69</v>
      </c>
      <c r="K2" s="7" t="s">
        <v>68</v>
      </c>
      <c r="L2" s="7" t="s">
        <v>70</v>
      </c>
      <c r="M2" s="7" t="s">
        <v>67</v>
      </c>
      <c r="N2" s="7" t="s">
        <v>71</v>
      </c>
      <c r="O2" s="7" t="s">
        <v>72</v>
      </c>
      <c r="P2" s="7" t="s">
        <v>73</v>
      </c>
      <c r="Q2" s="7" t="s">
        <v>73</v>
      </c>
      <c r="R2" s="7" t="s">
        <v>74</v>
      </c>
      <c r="S2" s="7" t="s">
        <v>65</v>
      </c>
      <c r="T2" s="7" t="s">
        <v>75</v>
      </c>
      <c r="U2" s="8" t="s">
        <v>76</v>
      </c>
      <c r="V2" s="7" t="s">
        <v>76</v>
      </c>
      <c r="W2" s="8" t="s">
        <v>73</v>
      </c>
      <c r="X2" s="8" t="s">
        <v>70</v>
      </c>
      <c r="Y2" s="8" t="s">
        <v>64</v>
      </c>
      <c r="Z2" s="8" t="s">
        <v>77</v>
      </c>
      <c r="AA2" s="8" t="s">
        <v>70</v>
      </c>
      <c r="AB2" s="8" t="s">
        <v>77</v>
      </c>
      <c r="AC2" s="8" t="s">
        <v>78</v>
      </c>
      <c r="AD2" s="8" t="s">
        <v>79</v>
      </c>
      <c r="AE2" s="8" t="s">
        <v>79</v>
      </c>
      <c r="AF2" s="8" t="s">
        <v>80</v>
      </c>
      <c r="AG2" s="8" t="s">
        <v>79</v>
      </c>
      <c r="AH2" s="8" t="s">
        <v>80</v>
      </c>
      <c r="AI2" s="8" t="s">
        <v>79</v>
      </c>
      <c r="AJ2" s="8" t="s">
        <v>79</v>
      </c>
      <c r="AK2" s="8" t="s">
        <v>79</v>
      </c>
      <c r="AL2" s="8" t="s">
        <v>79</v>
      </c>
      <c r="AM2" s="8" t="s">
        <v>79</v>
      </c>
      <c r="AN2" s="8" t="s">
        <v>76</v>
      </c>
      <c r="AO2" s="8" t="s">
        <v>81</v>
      </c>
      <c r="AP2" s="8" t="s">
        <v>81</v>
      </c>
      <c r="AQ2" s="8" t="s">
        <v>82</v>
      </c>
      <c r="AR2" s="8" t="s">
        <v>82</v>
      </c>
      <c r="AS2" s="8" t="s">
        <v>70</v>
      </c>
      <c r="AT2" s="8" t="s">
        <v>83</v>
      </c>
      <c r="AU2" s="8" t="s">
        <v>67</v>
      </c>
      <c r="AV2" s="7" t="s">
        <v>67</v>
      </c>
      <c r="AW2" s="7" t="s">
        <v>84</v>
      </c>
    </row>
    <row r="3" spans="1:49" x14ac:dyDescent="0.25">
      <c r="A3" s="4" t="s">
        <v>85</v>
      </c>
      <c r="B3" s="7" t="s">
        <v>86</v>
      </c>
      <c r="C3" s="7" t="s">
        <v>86</v>
      </c>
      <c r="D3" s="7" t="s">
        <v>86</v>
      </c>
      <c r="E3" s="7" t="s">
        <v>86</v>
      </c>
      <c r="F3" s="7" t="s">
        <v>86</v>
      </c>
      <c r="G3" s="7" t="s">
        <v>86</v>
      </c>
      <c r="H3" s="7" t="s">
        <v>87</v>
      </c>
      <c r="I3" s="7" t="s">
        <v>87</v>
      </c>
      <c r="J3" s="7" t="s">
        <v>87</v>
      </c>
      <c r="K3" s="7" t="s">
        <v>87</v>
      </c>
      <c r="L3" s="7" t="s">
        <v>86</v>
      </c>
      <c r="M3" s="7" t="s">
        <v>86</v>
      </c>
      <c r="N3" s="7" t="s">
        <v>86</v>
      </c>
      <c r="O3" s="7" t="s">
        <v>86</v>
      </c>
      <c r="P3" s="7" t="s">
        <v>87</v>
      </c>
      <c r="Q3" s="7" t="s">
        <v>87</v>
      </c>
      <c r="R3" s="7" t="s">
        <v>87</v>
      </c>
      <c r="S3" s="7" t="s">
        <v>87</v>
      </c>
      <c r="T3" s="7" t="s">
        <v>87</v>
      </c>
      <c r="U3" s="8" t="s">
        <v>88</v>
      </c>
      <c r="V3" s="7" t="s">
        <v>86</v>
      </c>
      <c r="W3" s="8" t="s">
        <v>88</v>
      </c>
      <c r="X3" s="8" t="s">
        <v>88</v>
      </c>
      <c r="Y3" s="8" t="s">
        <v>88</v>
      </c>
      <c r="Z3" s="8" t="s">
        <v>88</v>
      </c>
      <c r="AA3" s="8" t="s">
        <v>88</v>
      </c>
      <c r="AB3" s="8" t="s">
        <v>88</v>
      </c>
      <c r="AC3" s="8" t="s">
        <v>88</v>
      </c>
      <c r="AD3" s="8" t="s">
        <v>88</v>
      </c>
      <c r="AE3" s="8" t="s">
        <v>88</v>
      </c>
      <c r="AF3" s="8" t="s">
        <v>88</v>
      </c>
      <c r="AG3" s="8" t="s">
        <v>88</v>
      </c>
      <c r="AH3" s="8" t="s">
        <v>88</v>
      </c>
      <c r="AI3" s="8" t="s">
        <v>88</v>
      </c>
      <c r="AJ3" s="8" t="s">
        <v>88</v>
      </c>
      <c r="AK3" s="8" t="s">
        <v>88</v>
      </c>
      <c r="AL3" s="8" t="s">
        <v>88</v>
      </c>
      <c r="AM3" s="8" t="s">
        <v>88</v>
      </c>
      <c r="AN3" s="8" t="s">
        <v>88</v>
      </c>
      <c r="AO3" s="8" t="s">
        <v>88</v>
      </c>
      <c r="AP3" s="8" t="s">
        <v>88</v>
      </c>
      <c r="AQ3" s="8" t="s">
        <v>88</v>
      </c>
      <c r="AR3" s="8" t="s">
        <v>88</v>
      </c>
      <c r="AS3" s="8" t="s">
        <v>88</v>
      </c>
      <c r="AT3" s="8" t="s">
        <v>88</v>
      </c>
      <c r="AU3" s="8" t="s">
        <v>88</v>
      </c>
      <c r="AV3" s="7" t="s">
        <v>89</v>
      </c>
      <c r="AW3" s="7" t="s">
        <v>87</v>
      </c>
    </row>
    <row r="4" spans="1:49" x14ac:dyDescent="0.25">
      <c r="A4" s="9" t="s">
        <v>90</v>
      </c>
      <c r="B4" s="10" t="s">
        <v>91</v>
      </c>
      <c r="C4" s="10" t="s">
        <v>91</v>
      </c>
      <c r="D4" s="10" t="s">
        <v>91</v>
      </c>
      <c r="E4" s="10" t="s">
        <v>91</v>
      </c>
      <c r="F4" s="10" t="s">
        <v>91</v>
      </c>
      <c r="G4" s="10" t="s">
        <v>91</v>
      </c>
      <c r="H4" s="10" t="s">
        <v>91</v>
      </c>
      <c r="I4" s="10" t="s">
        <v>91</v>
      </c>
      <c r="J4" s="10" t="s">
        <v>91</v>
      </c>
      <c r="K4" s="10" t="s">
        <v>91</v>
      </c>
      <c r="L4" s="10" t="s">
        <v>91</v>
      </c>
      <c r="M4" s="10" t="s">
        <v>91</v>
      </c>
      <c r="N4" s="10" t="s">
        <v>91</v>
      </c>
      <c r="O4" s="10" t="s">
        <v>91</v>
      </c>
      <c r="P4" s="10" t="s">
        <v>91</v>
      </c>
      <c r="Q4" s="10" t="s">
        <v>91</v>
      </c>
      <c r="R4" s="10" t="s">
        <v>91</v>
      </c>
      <c r="S4" s="10" t="s">
        <v>91</v>
      </c>
      <c r="T4" s="10" t="s">
        <v>91</v>
      </c>
      <c r="U4" s="11" t="s">
        <v>92</v>
      </c>
      <c r="V4" s="10" t="s">
        <v>91</v>
      </c>
      <c r="W4" s="11" t="s">
        <v>93</v>
      </c>
      <c r="X4" s="11" t="s">
        <v>93</v>
      </c>
      <c r="Y4" s="11" t="s">
        <v>92</v>
      </c>
      <c r="Z4" s="11" t="s">
        <v>93</v>
      </c>
      <c r="AA4" s="11" t="s">
        <v>93</v>
      </c>
      <c r="AB4" s="11" t="s">
        <v>93</v>
      </c>
      <c r="AC4" s="11" t="s">
        <v>93</v>
      </c>
      <c r="AD4" s="11" t="s">
        <v>92</v>
      </c>
      <c r="AE4" s="11" t="s">
        <v>92</v>
      </c>
      <c r="AF4" s="11" t="s">
        <v>92</v>
      </c>
      <c r="AG4" s="11" t="s">
        <v>92</v>
      </c>
      <c r="AH4" s="11" t="s">
        <v>92</v>
      </c>
      <c r="AI4" s="11" t="s">
        <v>93</v>
      </c>
      <c r="AJ4" s="11" t="s">
        <v>93</v>
      </c>
      <c r="AK4" s="11" t="s">
        <v>93</v>
      </c>
      <c r="AL4" s="11" t="s">
        <v>93</v>
      </c>
      <c r="AM4" s="11" t="s">
        <v>93</v>
      </c>
      <c r="AN4" s="11" t="s">
        <v>93</v>
      </c>
      <c r="AO4" s="11" t="s">
        <v>93</v>
      </c>
      <c r="AP4" s="11" t="s">
        <v>93</v>
      </c>
      <c r="AQ4" s="11" t="s">
        <v>93</v>
      </c>
      <c r="AR4" s="11" t="s">
        <v>93</v>
      </c>
      <c r="AS4" s="11" t="s">
        <v>93</v>
      </c>
      <c r="AT4" s="11" t="s">
        <v>92</v>
      </c>
      <c r="AU4" s="11" t="s">
        <v>93</v>
      </c>
      <c r="AV4" s="10" t="s">
        <v>91</v>
      </c>
      <c r="AW4" s="10" t="s">
        <v>91</v>
      </c>
    </row>
    <row r="5" spans="1:49" x14ac:dyDescent="0.25">
      <c r="B5" s="12" t="s">
        <v>94</v>
      </c>
      <c r="C5" s="13" t="s">
        <v>95</v>
      </c>
      <c r="D5" s="12" t="s">
        <v>96</v>
      </c>
      <c r="E5" s="14" t="s">
        <v>95</v>
      </c>
      <c r="F5" s="12" t="s">
        <v>97</v>
      </c>
      <c r="H5" s="14" t="s">
        <v>95</v>
      </c>
      <c r="I5" s="14" t="s">
        <v>95</v>
      </c>
      <c r="J5">
        <v>1112</v>
      </c>
      <c r="K5">
        <v>1111</v>
      </c>
      <c r="L5" s="12" t="s">
        <v>98</v>
      </c>
      <c r="M5" s="12" t="s">
        <v>99</v>
      </c>
      <c r="N5" s="18">
        <f>Working!B24</f>
        <v>0</v>
      </c>
      <c r="O5" s="19" t="s">
        <v>100</v>
      </c>
    </row>
    <row r="6" spans="1:49" x14ac:dyDescent="0.25">
      <c r="B6" s="12" t="s">
        <v>94</v>
      </c>
      <c r="C6" s="13" t="s">
        <v>95</v>
      </c>
      <c r="D6" s="12" t="s">
        <v>96</v>
      </c>
      <c r="E6" s="14" t="s">
        <v>95</v>
      </c>
      <c r="F6" s="12" t="s">
        <v>97</v>
      </c>
      <c r="H6" s="14" t="s">
        <v>95</v>
      </c>
      <c r="I6" s="14" t="s">
        <v>95</v>
      </c>
      <c r="J6">
        <v>2221</v>
      </c>
      <c r="K6">
        <v>2222</v>
      </c>
      <c r="L6" s="12" t="s">
        <v>98</v>
      </c>
      <c r="M6" s="12" t="s">
        <v>99</v>
      </c>
      <c r="N6" s="18">
        <f>Working!C24</f>
        <v>0</v>
      </c>
      <c r="O6" s="19" t="s">
        <v>100</v>
      </c>
    </row>
    <row r="7" spans="1:49" x14ac:dyDescent="0.25">
      <c r="B7" s="12" t="s">
        <v>94</v>
      </c>
      <c r="C7" s="13" t="s">
        <v>95</v>
      </c>
      <c r="D7" s="12" t="s">
        <v>96</v>
      </c>
      <c r="E7" s="14" t="s">
        <v>95</v>
      </c>
      <c r="F7" s="12" t="s">
        <v>97</v>
      </c>
      <c r="H7" s="14" t="s">
        <v>95</v>
      </c>
      <c r="I7" s="14" t="s">
        <v>95</v>
      </c>
      <c r="J7">
        <v>1112</v>
      </c>
      <c r="K7">
        <v>1111</v>
      </c>
      <c r="L7" s="12" t="s">
        <v>98</v>
      </c>
      <c r="M7" s="12" t="s">
        <v>99</v>
      </c>
      <c r="N7" s="18">
        <f>Working!B25</f>
        <v>0</v>
      </c>
      <c r="O7" s="19" t="s">
        <v>100</v>
      </c>
    </row>
    <row r="8" spans="1:49" x14ac:dyDescent="0.25">
      <c r="B8" s="12" t="s">
        <v>94</v>
      </c>
      <c r="C8" s="13" t="s">
        <v>95</v>
      </c>
      <c r="D8" s="12" t="s">
        <v>96</v>
      </c>
      <c r="E8" s="14" t="s">
        <v>95</v>
      </c>
      <c r="F8" s="12" t="s">
        <v>97</v>
      </c>
      <c r="H8" s="14" t="s">
        <v>95</v>
      </c>
      <c r="I8" s="14" t="s">
        <v>95</v>
      </c>
      <c r="J8">
        <v>2221</v>
      </c>
      <c r="K8">
        <v>2222</v>
      </c>
      <c r="L8" s="12" t="s">
        <v>98</v>
      </c>
      <c r="M8" s="12" t="s">
        <v>99</v>
      </c>
      <c r="N8" s="18">
        <f>Working!C25</f>
        <v>0</v>
      </c>
      <c r="O8" s="19" t="s">
        <v>100</v>
      </c>
    </row>
    <row r="9" spans="1:49" x14ac:dyDescent="0.25">
      <c r="O9" s="1"/>
    </row>
    <row r="10" spans="1:49" x14ac:dyDescent="0.25">
      <c r="O10" s="1"/>
    </row>
    <row r="11" spans="1:49" x14ac:dyDescent="0.25">
      <c r="O11" s="1"/>
    </row>
    <row r="12" spans="1:49" x14ac:dyDescent="0.25">
      <c r="O12" s="1"/>
    </row>
    <row r="13" spans="1:49" x14ac:dyDescent="0.25">
      <c r="O13" s="1"/>
    </row>
    <row r="14" spans="1:49" x14ac:dyDescent="0.25">
      <c r="O14" s="1"/>
    </row>
    <row r="15" spans="1:49" x14ac:dyDescent="0.25">
      <c r="O15" s="1"/>
    </row>
    <row r="16" spans="1:49" x14ac:dyDescent="0.25">
      <c r="O16" s="1"/>
    </row>
    <row r="17" spans="15:15" x14ac:dyDescent="0.25">
      <c r="O17" s="1"/>
    </row>
    <row r="18" spans="15:15" x14ac:dyDescent="0.25">
      <c r="O18" s="1"/>
    </row>
    <row r="19" spans="15:15" x14ac:dyDescent="0.25">
      <c r="O19" s="1"/>
    </row>
    <row r="20" spans="15:15" x14ac:dyDescent="0.25">
      <c r="O20" s="1"/>
    </row>
    <row r="21" spans="15:15" x14ac:dyDescent="0.25">
      <c r="O21" s="1"/>
    </row>
    <row r="22" spans="15:15" x14ac:dyDescent="0.25">
      <c r="O22" s="1"/>
    </row>
    <row r="23" spans="15:15" x14ac:dyDescent="0.25">
      <c r="O23" s="1"/>
    </row>
    <row r="24" spans="15:15" x14ac:dyDescent="0.25">
      <c r="O24" s="1"/>
    </row>
    <row r="25" spans="15:15" x14ac:dyDescent="0.25">
      <c r="O25" s="1"/>
    </row>
    <row r="26" spans="15:15" x14ac:dyDescent="0.25">
      <c r="O26" s="1"/>
    </row>
    <row r="27" spans="15:15" x14ac:dyDescent="0.25">
      <c r="O27" s="1"/>
    </row>
    <row r="28" spans="15:15" x14ac:dyDescent="0.25">
      <c r="O28" s="1"/>
    </row>
    <row r="29" spans="15:15" x14ac:dyDescent="0.25">
      <c r="O29" s="1"/>
    </row>
    <row r="30" spans="15:15" x14ac:dyDescent="0.25">
      <c r="O30" s="1"/>
    </row>
    <row r="31" spans="15:15" x14ac:dyDescent="0.25">
      <c r="O31" s="1"/>
    </row>
    <row r="32" spans="15:15" x14ac:dyDescent="0.25">
      <c r="O32" s="1"/>
    </row>
    <row r="33" spans="15:15" x14ac:dyDescent="0.25">
      <c r="O33" s="1"/>
    </row>
    <row r="34" spans="15:15" x14ac:dyDescent="0.25">
      <c r="O34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Working</vt:lpstr>
      <vt:lpstr>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2023-07-03T11:55:44Z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2023-07-03T11:55:33Z</vt:lpwstr>
  </property>
  <property fmtid="{D5CDD505-2E9C-101B-9397-08002B2CF9AE}" pid="4" name="MSIP_Label_a8c544ca-bb84-4280-906e-934547e1d30c_Method">
    <vt:lpwstr>Standard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4ef76600-6dc8-4c48-a274-d51d74fb5679</vt:lpwstr>
  </property>
  <property fmtid="{D5CDD505-2E9C-101B-9397-08002B2CF9AE}" pid="8" name="MSIP_Label_a8c544ca-bb84-4280-906e-934547e1d30c_ContentBits">
    <vt:lpwstr>2</vt:lpwstr>
  </property>
</Properties>
</file>